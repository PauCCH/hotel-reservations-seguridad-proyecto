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60" tabRatio="600" firstSheet="0" activeTab="0" autoFilterDateGrouping="1"/>
  </bookViews>
  <sheets>
    <sheet name="Matriz de Gobernanza" sheetId="1" state="visible" r:id="rId1"/>
    <sheet name="Resumen y criteri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dxfs count="12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b val="1"/>
        <color rgb="00FFFFFF"/>
        <sz val="10"/>
      </font>
      <fill>
        <patternFill patternType="solid">
          <fgColor rgb="00C00000"/>
          <bgColor rgb="00C00000"/>
        </patternFill>
      </fill>
    </dxf>
    <dxf>
      <font>
        <name val="Arial"/>
        <b val="1"/>
        <color rgb="00000000"/>
        <sz val="10"/>
      </font>
      <fill>
        <patternFill patternType="solid">
          <fgColor rgb="00F4B183"/>
          <bgColor rgb="00F4B183"/>
        </patternFill>
      </fill>
    </dxf>
    <dxf>
      <font>
        <name val="Arial"/>
        <b val="1"/>
        <color rgb="00000000"/>
        <sz val="1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000000"/>
        <sz val="10"/>
      </font>
      <fill>
        <patternFill patternType="solid">
          <fgColor rgb="00C6E0B4"/>
          <b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trizGobernanza" displayName="MatrizGobernanza" ref="A1:F28" headerRowCount="1">
  <autoFilter ref="A1:F28"/>
  <tableColumns count="6">
    <tableColumn id="1" name="Módulo y Responsable"/>
    <tableColumn id="2" name="Activo Crítico"/>
    <tableColumn id="3" name="Función NIST CSF"/>
    <tableColumn id="4" name="Categoría / Subcategoría NIST CSF"/>
    <tableColumn id="5" name="Control de Seguridad Requerido (Línea Base)"/>
    <tableColumn id="6" name="Nivel de Riesgo Inher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8"/>
  <sheetViews>
    <sheetView tabSelected="1" topLeftCell="B1" workbookViewId="0">
      <pane ySplit="1" topLeftCell="A2" activePane="bottomLeft" state="frozen"/>
      <selection pane="bottomLeft" activeCell="F17" sqref="F17"/>
    </sheetView>
  </sheetViews>
  <sheetFormatPr baseColWidth="10" defaultColWidth="12.6640625" defaultRowHeight="15.75" customHeight="1"/>
  <cols>
    <col width="35.1640625" bestFit="1" customWidth="1" min="1" max="1"/>
    <col width="49.5" bestFit="1" customWidth="1" min="2" max="2"/>
    <col width="26.1640625" bestFit="1" customWidth="1" min="3" max="3"/>
    <col width="46" bestFit="1" customWidth="1" min="4" max="4"/>
    <col width="71.1640625" bestFit="1" customWidth="1" min="5" max="5"/>
    <col width="25" bestFit="1" customWidth="1" min="6" max="6"/>
  </cols>
  <sheetData>
    <row r="1" ht="30" customHeight="1">
      <c r="A1" s="2" t="inlineStr">
        <is>
          <t>Módulo y Responsable</t>
        </is>
      </c>
      <c r="B1" s="2" t="inlineStr">
        <is>
          <t>Activo Crítico</t>
        </is>
      </c>
      <c r="C1" s="2" t="inlineStr">
        <is>
          <t>Función NIST CSF</t>
        </is>
      </c>
      <c r="D1" s="2" t="inlineStr">
        <is>
          <t>Categoría / Subcategoría NIST CSF</t>
        </is>
      </c>
      <c r="E1" s="2" t="inlineStr">
        <is>
          <t>Control de Seguridad Requerido (Línea Base)</t>
        </is>
      </c>
      <c r="F1" s="2" t="inlineStr">
        <is>
          <t>Nivel de Riesgo Inherente</t>
        </is>
      </c>
    </row>
    <row r="2" ht="15.75" customHeight="1">
      <c r="A2" s="3" t="inlineStr">
        <is>
          <t>Módulo 1: Autenticación (Paula) / Módulo 2: Gestión de Usuarios (Joseph / Daniel Salas)</t>
        </is>
      </c>
      <c r="B2" s="3" t="inlineStr">
        <is>
          <t>Rol inicial de cada cuenta (auth.users, user_roles, trigger handle_new_user) — riesgo compartido (AUTH-R01 = US-R01)</t>
        </is>
      </c>
      <c r="C2" s="3" t="inlineStr">
        <is>
          <t>PROTECT (PR)</t>
        </is>
      </c>
      <c r="D2" s="3" t="inlineStr">
        <is>
          <t>PR.AA-05: Permisos gestionados con menor privilegio; PR.AA-04: Aserciones de identidad protegidas y verificadas</t>
        </is>
      </c>
      <c r="E2" s="3" t="inlineStr">
        <is>
          <t>Asignar el rol solo desde datos que fija el servidor e ignorar user_metadata en el trigger</t>
        </is>
      </c>
      <c r="F2" s="3" t="inlineStr">
        <is>
          <t>Crítico (provisional)</t>
        </is>
      </c>
    </row>
    <row r="3" ht="15.75" customHeight="1">
      <c r="A3" s="3" t="inlineStr">
        <is>
          <t>Módulo 1: Autenticación (Paula)</t>
        </is>
      </c>
      <c r="B3" s="3" t="inlineStr">
        <is>
          <t>Redirecciones posteriores al login (callbackUrl en /auth/login y /auth/callback, emailRedirectTo)</t>
        </is>
      </c>
      <c r="C3" s="3" t="inlineStr">
        <is>
          <t>PROTECT (PR)</t>
        </is>
      </c>
      <c r="D3" s="3" t="inlineStr">
        <is>
          <t>PR.DS-10: Integridad de datos en uso</t>
        </is>
      </c>
      <c r="E3" s="3" t="inlineStr">
        <is>
          <t>Aceptar solo rutas internas relativas y construir los enlaces de correo con la URL configurada, no con Origin</t>
        </is>
      </c>
      <c r="F3" s="3" t="inlineStr">
        <is>
          <t>Alto</t>
        </is>
      </c>
    </row>
    <row r="4" ht="15.75" customHeight="1">
      <c r="A4" s="3" t="inlineStr">
        <is>
          <t>Módulo 1: Autenticación (Paula)</t>
        </is>
      </c>
      <c r="B4" s="3" t="inlineStr">
        <is>
          <t>Credenciales de clientes y personal (auth.users), endpoints de login del portal, del panel y de la API de Supabase</t>
        </is>
      </c>
      <c r="C4" s="3" t="inlineStr">
        <is>
          <t>PROTECT (PR)</t>
        </is>
      </c>
      <c r="D4" s="3" t="inlineStr">
        <is>
          <t>PR.AA-01: Identidades y credenciales gestionadas; PR.AA-03: Usuarios autenticados</t>
        </is>
      </c>
      <c r="E4" s="3" t="inlineStr">
        <is>
          <t>Política de contraseñas en el proveedor, captcha, MFA TOTP para personal y límite de intentos por cuenta</t>
        </is>
      </c>
      <c r="F4" s="3" t="inlineStr">
        <is>
          <t>Alto</t>
        </is>
      </c>
    </row>
    <row r="5" ht="15.75" customHeight="1">
      <c r="A5" s="3" t="inlineStr">
        <is>
          <t>Módulo 1: Autenticación (Paula)</t>
        </is>
      </c>
      <c r="B5" s="3" t="inlineStr">
        <is>
          <t>Trazabilidad de eventos de autenticación (audit_logs)</t>
        </is>
      </c>
      <c r="C5" s="3" t="inlineStr">
        <is>
          <t>DETECT (DE)</t>
        </is>
      </c>
      <c r="D5" s="3" t="inlineStr">
        <is>
          <t>DE.CM-03: Monitoreo de actividad del personal; DE.AE-02: Análisis de eventos adversos; PR.PS-04: Generación de registros</t>
        </is>
      </c>
      <c r="E5" s="3" t="inlineStr">
        <is>
          <t>Registrar todos los eventos de auth con campos saneados e IP confiable, y detectar intentos fallidos repetidos</t>
        </is>
      </c>
      <c r="F5" s="3" t="inlineStr">
        <is>
          <t>Alto</t>
        </is>
      </c>
    </row>
    <row r="6">
      <c r="A6" s="3" t="inlineStr">
        <is>
          <t>Módulo 1: Autenticación (Paula)</t>
        </is>
      </c>
      <c r="B6" s="3" t="inlineStr">
        <is>
          <t>Activación de cuentas de administrador (activateAdminAction, completeAdminActivation, pending_invitations)</t>
        </is>
      </c>
      <c r="C6" s="3" t="inlineStr">
        <is>
          <t>PROTECT (PR)</t>
        </is>
      </c>
      <c r="D6" s="3" t="inlineStr">
        <is>
          <t>PR.AA-01: Identidades gestionadas durante su ciclo de vida; ID.AM-08: Ciclo de vida de sistemas y datos</t>
        </is>
      </c>
      <c r="E6" s="3" t="inlineStr">
        <is>
          <t>Exigir una invitación pendiente, vigente y del mismo usuario antes de activar; impedir que una cuenta desactivada se reactive sola</t>
        </is>
      </c>
      <c r="F6" s="3" t="inlineStr">
        <is>
          <t>Medio</t>
        </is>
      </c>
    </row>
    <row r="7">
      <c r="A7" s="3" t="inlineStr">
        <is>
          <t>Módulo 1: Autenticación (Paula)</t>
        </is>
      </c>
      <c r="B7" s="3" t="inlineStr">
        <is>
          <t>Sesión del usuario (cookies sb-*-auth-token, hidratación SSR, cabeceras HTTP)</t>
        </is>
      </c>
      <c r="C7" s="3" t="inlineStr">
        <is>
          <t>PROTECT (PR)</t>
        </is>
      </c>
      <c r="D7" s="3" t="inlineStr">
        <is>
          <t>PR.DS-02: Protección de datos en tránsito; PR.PS-01: Gestión de configuración; PR.AA-04: Aserciones verificadas</t>
        </is>
      </c>
      <c r="E7" s="3" t="inlineStr">
        <is>
          <t>Cookies Secure/SameSite (y HttpOnly si es viable), CSP y cabeceras de seguridad, getUser() en el servidor y sin tokens en el payload del cliente</t>
        </is>
      </c>
      <c r="F7" s="3" t="inlineStr">
        <is>
          <t>Medio</t>
        </is>
      </c>
    </row>
    <row r="8">
      <c r="A8" s="3" t="inlineStr">
        <is>
          <t>Módulo 1: Autenticación (Paula)</t>
        </is>
      </c>
      <c r="B8" s="3" t="inlineStr">
        <is>
          <t>Claims del JWT usados en políticas RLS (auth.jwt(), trigger sync_role_to_jwt)</t>
        </is>
      </c>
      <c r="C8" s="3" t="inlineStr">
        <is>
          <t>PROTECT (PR)</t>
        </is>
      </c>
      <c r="D8" s="3" t="inlineStr">
        <is>
          <t>PR.AA-04: Aserciones de identidad protegidas y verificadas</t>
        </is>
      </c>
      <c r="E8" s="3" t="inlineStr">
        <is>
          <t>Autorizar con funciones que leen user_roles, nunca con claims editables o con el rol de Postgres</t>
        </is>
      </c>
      <c r="F8" s="3" t="inlineStr">
        <is>
          <t>Medio</t>
        </is>
      </c>
    </row>
    <row r="9">
      <c r="A9" s="3" t="inlineStr">
        <is>
          <t>Módulo 2: Gestión de Usuarios (Joseph / Daniel Salas)</t>
        </is>
      </c>
      <c r="B9" s="3" t="inlineStr">
        <is>
          <t>Creación de cuentas de administrador (createAdminAccountAction, invitaciones)</t>
        </is>
      </c>
      <c r="C9" s="3" t="inlineStr">
        <is>
          <t>PROTECT (PR)</t>
        </is>
      </c>
      <c r="D9" s="3" t="inlineStr">
        <is>
          <t>PR.AA-05: Control de acceso; PR.DS-10: Integridad de datos en uso</t>
        </is>
      </c>
      <c r="E9" s="3" t="inlineStr">
        <is>
          <t>requirePermission(admins:invite) en el servidor y validación con esquema (Zod) de nombre y email</t>
        </is>
      </c>
      <c r="F9" s="3" t="inlineStr">
        <is>
          <t>Alto</t>
        </is>
      </c>
    </row>
    <row r="10">
      <c r="A10" s="3" t="inlineStr">
        <is>
          <t>Módulo 2: Gestión de Usuarios (Joseph / Daniel Salas)</t>
        </is>
      </c>
      <c r="B10" s="3" t="inlineStr">
        <is>
          <t>Trazabilidad de la gestión de accesos (altas, bajas, cambios de permisos)</t>
        </is>
      </c>
      <c r="C10" s="3" t="inlineStr">
        <is>
          <t>DETECT (DE)</t>
        </is>
      </c>
      <c r="D10" s="3" t="inlineStr">
        <is>
          <t>DE.CM-03: Monitoreo de actividad del personal; PR.PS-04: Generación de registros</t>
        </is>
      </c>
      <c r="E10" s="3" t="inlineStr">
        <is>
          <t>logAuditEvent en cada operación (actor, destino, antes/después), registro de denegaciones y trigger de BD para cambios directos</t>
        </is>
      </c>
      <c r="F10" s="3" t="inlineStr">
        <is>
          <t>Alto</t>
        </is>
      </c>
    </row>
    <row r="11">
      <c r="A11" s="3" t="inlineStr">
        <is>
          <t>Módulo 2: Gestión de Usuarios (Joseph / Daniel Salas)</t>
        </is>
      </c>
      <c r="B11" s="3" t="inlineStr">
        <is>
          <t>Tablas profiles, user_permissions, pending_invitations y sus políticas RLS</t>
        </is>
      </c>
      <c r="C11" s="3" t="inlineStr">
        <is>
          <t>PROTECT (PR)</t>
        </is>
      </c>
      <c r="D11" s="3" t="inlineStr">
        <is>
          <t>PR.AA-05: Control de acceso con menor privilegio</t>
        </is>
      </c>
      <c r="E11" s="3" t="inlineStr">
        <is>
          <t>RLS con FOR explícito y WITH CHECK, por permiso y no solo por rol</t>
        </is>
      </c>
      <c r="F11" s="3" t="inlineStr">
        <is>
          <t>Medio</t>
        </is>
      </c>
    </row>
    <row r="12">
      <c r="A12" s="3" t="inlineStr">
        <is>
          <t>Módulo 2: Gestión de Usuarios (Joseph / Daniel Salas)</t>
        </is>
      </c>
      <c r="B12" s="3" t="inlineStr">
        <is>
          <t>Permisos finos de administradores (updateUserPermissions, user_permissions)</t>
        </is>
      </c>
      <c r="C12" s="3" t="inlineStr">
        <is>
          <t>GOVERN (GV) / PROTECT (PR)</t>
        </is>
      </c>
      <c r="D12" s="3" t="inlineStr">
        <is>
          <t>GV.RR-02: Roles y autoridades establecidos; PR.AA-05: Separación de funciones</t>
        </is>
      </c>
      <c r="E12" s="3" t="inlineStr">
        <is>
          <t>Validar el destino, acotar la delegación (solo el owner otorga permissions:manage) y actualizar de forma atómica</t>
        </is>
      </c>
      <c r="F12" s="3" t="inlineStr">
        <is>
          <t>Medio</t>
        </is>
      </c>
    </row>
    <row r="13">
      <c r="A13" s="3" t="inlineStr">
        <is>
          <t>Módulo 2: Gestión de Usuarios (Joseph / Daniel Salas)</t>
        </is>
      </c>
      <c r="B13" s="3" t="inlineStr">
        <is>
          <t>Ciclo de vida de invitaciones y cuentas (revokeInvitation, toggleAdminStatus)</t>
        </is>
      </c>
      <c r="C13" s="3" t="inlineStr">
        <is>
          <t>PROTECT (PR)</t>
        </is>
      </c>
      <c r="D13" s="3" t="inlineStr">
        <is>
          <t>PR.DS-10: Integridad de datos en uso; PR.AA-01: Identidades y credenciales gestionadas</t>
        </is>
      </c>
      <c r="E13" s="3" t="inlineStr">
        <is>
          <t>Máquina de estados de invitaciones, restricciones sobre owner y uno mismo, y revocación efectiva de sesión</t>
        </is>
      </c>
      <c r="F13" s="3" t="inlineStr">
        <is>
          <t>Medio</t>
        </is>
      </c>
    </row>
    <row r="14">
      <c r="A14" s="3" t="inlineStr">
        <is>
          <t>Módulo 2: Gestión de Usuarios (Joseph / Daniel Salas)</t>
        </is>
      </c>
      <c r="B14" s="3" t="inlineStr">
        <is>
          <t>Listado y permisos de administradores (RPC get_admins, getUserPermissionsService)</t>
        </is>
      </c>
      <c r="C14" s="3" t="inlineStr">
        <is>
          <t>PROTECT (PR)</t>
        </is>
      </c>
      <c r="D14" s="3" t="inlineStr">
        <is>
          <t>PR.AA-05: Control de acceso; PR.DS-01: Protección de datos en reposo</t>
        </is>
      </c>
      <c r="E14" s="3" t="inlineStr">
        <is>
          <t>requirePermission en toda lectura y REVOKE EXECUTE en funciones SECURITY DEFINER para anon y authenticated</t>
        </is>
      </c>
      <c r="F14" s="3" t="inlineStr">
        <is>
          <t>Medio</t>
        </is>
      </c>
    </row>
    <row r="15">
      <c r="A15" s="3" t="inlineStr">
        <is>
          <t>Módulo 3: Operaciones / Transacciones (Aarón Líos)</t>
        </is>
      </c>
      <c r="B15" s="3" t="inlineStr">
        <is>
          <t>Galería de habitaciones (room_images, bucket room-images), server actions galleryActions</t>
        </is>
      </c>
      <c r="C15" s="3" t="inlineStr">
        <is>
          <t>PROTECT (PR)</t>
        </is>
      </c>
      <c r="D15" s="3" t="inlineStr">
        <is>
          <t>PR.AA-05: Permisos gestionados con menor privilegio; PR.PS-05: Prevención de ejecución no autorizada</t>
        </is>
      </c>
      <c r="E15" s="3" t="inlineStr">
        <is>
          <t>requirePermission(rooms_manage) en el servidor, middleware del panel restringido por rol y validación de archivos en el servidor (magic bytes, tipo y extensión fijados por el servidor)</t>
        </is>
      </c>
      <c r="F15" s="3" t="inlineStr">
        <is>
          <t>Alto</t>
        </is>
      </c>
    </row>
    <row r="16">
      <c r="A16" s="3" t="inlineStr">
        <is>
          <t>Módulo 3: Operaciones / Transacciones (Aarón Líos)</t>
        </is>
      </c>
      <c r="B16" s="3" t="inlineStr">
        <is>
          <t>Catálogo y tarifas (rooms, room_schedules) y sus políticas RLS</t>
        </is>
      </c>
      <c r="C16" s="3" t="inlineStr">
        <is>
          <t>PROTECT (PR)</t>
        </is>
      </c>
      <c r="D16" s="3" t="inlineStr">
        <is>
          <t>PR.AA-04: Aserciones de identidad protegidas y verificadas; PR.AA-05: Control de acceso</t>
        </is>
      </c>
      <c r="E16" s="3" t="inlineStr">
        <is>
          <t>RLS basado en user_roles/permisos (no en claims editables del JWT), incluyendo al owner y con WITH CHECK</t>
        </is>
      </c>
      <c r="F16" s="3" t="inlineStr">
        <is>
          <t>Alto</t>
        </is>
      </c>
    </row>
    <row r="17">
      <c r="A17" s="3" t="inlineStr">
        <is>
          <t>Módulo 3: Operaciones / Transacciones (Aarón Líos)</t>
        </is>
      </c>
      <c r="B17" s="3" t="inlineStr">
        <is>
          <t>Confirmación de pago (sesión de Stripe, /reserve/success, código de confirmación)</t>
        </is>
      </c>
      <c r="C17" s="3" t="inlineStr">
        <is>
          <t>PROTECT (PR) / DETECT (DE)</t>
        </is>
      </c>
      <c r="D17" s="3" t="inlineStr">
        <is>
          <t>PR.DS-10: Integridad de datos en uso; DE.CM-06: Monitoreo de proveedores externos</t>
        </is>
      </c>
      <c r="E17" s="3" t="inlineStr">
        <is>
          <t>Verificar payment_status con Stripe antes de confirmar, webhook firmado y gateway mock deshabilitado fuera de desarrollo</t>
        </is>
      </c>
      <c r="F17" s="3" t="inlineStr">
        <is>
          <t>Alto</t>
        </is>
      </c>
    </row>
    <row r="18">
      <c r="A18" s="3" t="inlineStr">
        <is>
          <t>Módulo 3: Operaciones / Transacciones (Aarón Líos)</t>
        </is>
      </c>
      <c r="B18" s="3" t="inlineStr">
        <is>
          <t>Operaciones administrativas (estado de reservas, tarifas, modo de reservas, galería)</t>
        </is>
      </c>
      <c r="C18" s="3" t="inlineStr">
        <is>
          <t>DETECT (DE)</t>
        </is>
      </c>
      <c r="D18" s="3" t="inlineStr">
        <is>
          <t>DE.CM-03: Monitoreo de actividad del personal; PR.PS-04: Generación de registros</t>
        </is>
      </c>
      <c r="E18" s="3" t="inlineStr">
        <is>
          <t>Registrar cada operación vía logAuditEvent (actor, antes/después, campos saneados) y los intentos denegados</t>
        </is>
      </c>
      <c r="F18" s="3" t="inlineStr">
        <is>
          <t>Alto</t>
        </is>
      </c>
    </row>
    <row r="19">
      <c r="A19" s="3" t="inlineStr">
        <is>
          <t>Módulo 3: Operaciones / Transacciones (Aarón Líos)</t>
        </is>
      </c>
      <c r="B19" s="3" t="inlineStr">
        <is>
          <t>Estado de las reservas (reservations.status) y modo de reservas (system_settings)</t>
        </is>
      </c>
      <c r="C19" s="3" t="inlineStr">
        <is>
          <t>PROTECT (PR)</t>
        </is>
      </c>
      <c r="D19" s="3" t="inlineStr">
        <is>
          <t>PR.DS-01: Integridad de datos en reposo; PR.PS-01: Gestión de configuración</t>
        </is>
      </c>
      <c r="E19" s="3" t="inlineStr">
        <is>
          <t>Máquina de estados aplicada en el servidor y validación con esquema (enum) de status y BookingMode</t>
        </is>
      </c>
      <c r="F19" s="3" t="inlineStr">
        <is>
          <t>Medio</t>
        </is>
      </c>
    </row>
    <row r="20">
      <c r="A20" s="3" t="inlineStr">
        <is>
          <t>Módulo 3: Operaciones / Transacciones (Aarón Líos)</t>
        </is>
      </c>
      <c r="B20" s="3" t="inlineStr">
        <is>
          <t>API pública POST /api/checkout</t>
        </is>
      </c>
      <c r="C20" s="3" t="inlineStr">
        <is>
          <t>PROTECT (PR)</t>
        </is>
      </c>
      <c r="D20" s="3" t="inlineStr">
        <is>
          <t>PR.DS-10: Integridad de datos en uso; PR.IR-01: Protección contra acceso lógico no autorizado</t>
        </is>
      </c>
      <c r="E20" s="3" t="inlineStr">
        <is>
          <t>Validación con esquema (UUID, fechas, email), verificación de Origin y rate limit por IP</t>
        </is>
      </c>
      <c r="F20" s="3" t="inlineStr">
        <is>
          <t>Medio</t>
        </is>
      </c>
    </row>
    <row r="21">
      <c r="A21" s="3" t="inlineStr">
        <is>
          <t>Módulo 3: Operaciones / Transacciones (Aarón Líos)</t>
        </is>
      </c>
      <c r="B21" s="3" t="inlineStr">
        <is>
          <t>PII de huéspedes (reservations.guest_*)</t>
        </is>
      </c>
      <c r="C21" s="3" t="inlineStr">
        <is>
          <t>PROTECT (PR)</t>
        </is>
      </c>
      <c r="D21" s="3" t="inlineStr">
        <is>
          <t>PR.DS-01: Protección de datos en reposo; PR.AA-05: Control de acceso</t>
        </is>
      </c>
      <c r="E21" s="3" t="inlineStr">
        <is>
          <t>Mantener RLS deny-all + requirePermission(reservations_view) y reducir el uso de service-role</t>
        </is>
      </c>
      <c r="F21" s="3" t="inlineStr">
        <is>
          <t>Medio</t>
        </is>
      </c>
    </row>
    <row r="22">
      <c r="A22" s="3" t="inlineStr">
        <is>
          <t>Módulo 4: Logs / Auditoría (Fabián Vargas)</t>
        </is>
      </c>
      <c r="B22" s="3" t="inlineStr">
        <is>
          <t>Metadatos del evento (audit_logs.metadata) renderizados en el visor (AuditLogDetailDrawer, formatMetadataHtml)</t>
        </is>
      </c>
      <c r="C22" s="3" t="inlineStr">
        <is>
          <t>PROTECT (PR)</t>
        </is>
      </c>
      <c r="D22" s="3" t="inlineStr">
        <is>
          <t>PR.DS-10: Integridad de los datos en uso; PR.PS-05: Prevención de la ejecución de software no autorizado</t>
        </is>
      </c>
      <c r="E22" s="3" t="inlineStr">
        <is>
          <t>Eliminar dangerouslySetInnerHTML y escapar la salida en el visor; CSP en el panel; saneamiento de los campos en la escritura</t>
        </is>
      </c>
      <c r="F22" s="3" t="inlineStr">
        <is>
          <t>Crítico</t>
        </is>
      </c>
    </row>
    <row r="23">
      <c r="A23" s="3" t="inlineStr">
        <is>
          <t>Módulo 4: Logs / Auditoría (Fabián Vargas)</t>
        </is>
      </c>
      <c r="B23" s="3" t="inlineStr">
        <is>
          <t>Contexto de red del actor (ip_address, user_agent) y su origen (getAuditRequestContext)</t>
        </is>
      </c>
      <c r="C23" s="3" t="inlineStr">
        <is>
          <t>PROTECT (PR) / DETECT (DE)</t>
        </is>
      </c>
      <c r="D23" s="3" t="inlineStr">
        <is>
          <t>PR.DS-10: Integridad de los datos en uso; DE.AE-03: Correlación de información de eventos</t>
        </is>
      </c>
      <c r="E23" s="3" t="inlineStr">
        <is>
          <t>Aceptar x-forwarded-for solo desde proxies de confianza documentados; normalizar y acotar todo campo de texto antes de insertar</t>
        </is>
      </c>
      <c r="F23" s="3" t="inlineStr">
        <is>
          <t>Crítico</t>
        </is>
      </c>
    </row>
    <row r="24">
      <c r="A24" s="3" t="inlineStr">
        <is>
          <t>Módulo 4: Logs / Auditoría (Fabián Vargas)</t>
        </is>
      </c>
      <c r="B24" s="3" t="inlineStr">
        <is>
          <t>Registro de auditoría (audit_logs) como evidencia: integridad del histórico</t>
        </is>
      </c>
      <c r="C24" s="3" t="inlineStr">
        <is>
          <t>PROTECT (PR) / RESPOND (RS)</t>
        </is>
      </c>
      <c r="D24" s="3" t="inlineStr">
        <is>
          <t>PR.DS-01: Integridad de los datos en reposo; RS.AN-03: Análisis que establece qué ocurrió</t>
        </is>
      </c>
      <c r="E24" s="3" t="inlineStr">
        <is>
          <t>Trigger append-only que bloquee UPDATE/DELETE, hash encadenado por fila y procedimiento de verificación de la cadena</t>
        </is>
      </c>
      <c r="F24" s="3" t="inlineStr">
        <is>
          <t>Alto</t>
        </is>
      </c>
    </row>
    <row r="25">
      <c r="A25" s="3" t="inlineStr">
        <is>
          <t>Módulo 4: Logs / Auditoría (Fabián Vargas)</t>
        </is>
      </c>
      <c r="B25" s="3" t="inlineStr">
        <is>
          <t>Lectura del registro (getAuditLogs) y permiso audit:view</t>
        </is>
      </c>
      <c r="C25" s="3" t="inlineStr">
        <is>
          <t>PROTECT (PR)</t>
        </is>
      </c>
      <c r="D25" s="3" t="inlineStr">
        <is>
          <t>PR.AA-05: Permisos gestionados con menor privilegio; PR.AA-03: Autenticación de usuarios</t>
        </is>
      </c>
      <c r="E25" s="3" t="inlineStr">
        <is>
          <t>Exigir requirePermission(audit:view) y consultar con el cliente de sesión para que la RLS se ejerza; middleware del panel restringido por rol</t>
        </is>
      </c>
      <c r="F25" s="3" t="inlineStr">
        <is>
          <t>Alto</t>
        </is>
      </c>
    </row>
    <row r="26">
      <c r="A26" s="3" t="inlineStr">
        <is>
          <t>Módulo 4: Logs / Auditoría (Fabián Vargas)</t>
        </is>
      </c>
      <c r="B26" s="3" t="inlineStr">
        <is>
          <t>Filtros del visor (search, action, from, to, pageSize)</t>
        </is>
      </c>
      <c r="C26" s="3" t="inlineStr">
        <is>
          <t>PROTECT (PR)</t>
        </is>
      </c>
      <c r="D26" s="3" t="inlineStr">
        <is>
          <t>PR.DS-10: Integridad de los datos en uso; PR.PS-06: Prácticas de desarrollo seguro</t>
        </is>
      </c>
      <c r="E26" s="3" t="inlineStr">
        <is>
          <t>Filtros parametrizados por columna (sin interpolar en .or()), validación de esquema en el servidor, pageSize acotado y errores genéricos</t>
        </is>
      </c>
      <c r="F26" s="3" t="inlineStr">
        <is>
          <t>Alto</t>
        </is>
      </c>
    </row>
    <row r="27">
      <c r="A27" s="3" t="inlineStr">
        <is>
          <t>Módulo 4: Logs / Auditoría (Fabián Vargas)</t>
        </is>
      </c>
      <c r="B27" s="3" t="inlineStr">
        <is>
          <t>Cobertura de eventos del sistema (AUDIT_ACTIONS) y API de auditoría para los demás módulos</t>
        </is>
      </c>
      <c r="C27" s="3" t="inlineStr">
        <is>
          <t>DETECT (DE)</t>
        </is>
      </c>
      <c r="D27" s="3" t="inlineStr">
        <is>
          <t>DE.CM-03: Monitoreo de la actividad del personal; DE.CM-09: Monitoreo de software y datos; PR.PS-04: Generación de registros</t>
        </is>
      </c>
      <c r="E27" s="3" t="inlineStr">
        <is>
          <t>Ampliar el catálogo de acciones a los cuatro módulos, publicar la guía de uso de logAuditEvent y registrar también los accesos denegados</t>
        </is>
      </c>
      <c r="F27" s="3" t="inlineStr">
        <is>
          <t>Medio</t>
        </is>
      </c>
    </row>
    <row r="28">
      <c r="A28" s="3" t="inlineStr">
        <is>
          <t>Módulo 4: Logs / Auditoría (Fabián Vargas)</t>
        </is>
      </c>
      <c r="B28" s="3" t="inlineStr">
        <is>
          <t>PII acumulada en el registro (actor_email, ip_address, metadata.email)</t>
        </is>
      </c>
      <c r="C28" s="3" t="inlineStr">
        <is>
          <t>PROTECT (PR) / GOVERN (GV)</t>
        </is>
      </c>
      <c r="D28" s="3" t="inlineStr">
        <is>
          <t>PR.DS-01: Protección de datos en reposo; GV.OC-03: Requisitos legales (Ley 8968)</t>
        </is>
      </c>
      <c r="E28" s="3" t="inlineStr">
        <is>
          <t>Política de retención con plazo definido y purga automatizada; minimización de la PII registrada en intentos fallidos</t>
        </is>
      </c>
      <c r="F28" s="3" t="inlineStr">
        <is>
          <t>Medio</t>
        </is>
      </c>
    </row>
  </sheetData>
  <conditionalFormatting sqref="F2:F28">
    <cfRule type="expression" priority="1" dxfId="8">
      <formula>LEFT($F2,7)="Crítico"</formula>
    </cfRule>
    <cfRule type="expression" priority="2" dxfId="9">
      <formula>LEFT($F2,4)="Alto"</formula>
    </cfRule>
    <cfRule type="expression" priority="3" dxfId="10">
      <formula>LEFT($F2,5)="Medio"</formula>
    </cfRule>
    <cfRule type="expression" priority="4" dxfId="11">
      <formula>LEFT($F2,4)="Bajo"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Resumen de riesgo inherente por módulo</t>
        </is>
      </c>
    </row>
    <row r="3">
      <c r="A3" s="5" t="inlineStr">
        <is>
          <t>Módulo</t>
        </is>
      </c>
      <c r="B3" s="5" t="inlineStr">
        <is>
          <t>Crítico</t>
        </is>
      </c>
      <c r="C3" s="5" t="inlineStr">
        <is>
          <t>Alto</t>
        </is>
      </c>
      <c r="D3" s="5" t="inlineStr">
        <is>
          <t>Medio</t>
        </is>
      </c>
      <c r="E3" s="5" t="inlineStr">
        <is>
          <t>Bajo</t>
        </is>
      </c>
      <c r="F3" s="5" t="inlineStr">
        <is>
          <t>Total</t>
        </is>
      </c>
    </row>
    <row r="4">
      <c r="A4" s="6" t="inlineStr">
        <is>
          <t>Módulo 1: Autenticación</t>
        </is>
      </c>
      <c r="B4" s="6">
        <f>COUNTIFS('Matriz de Gobernanza'!$A$2:$A$28,"Módulo 1:*",'Matriz de Gobernanza'!$F$2:$F$28,"Crítico*")</f>
        <v/>
      </c>
      <c r="C4" s="6">
        <f>COUNTIFS('Matriz de Gobernanza'!$A$2:$A$28,"Módulo 1:*",'Matriz de Gobernanza'!$F$2:$F$28,"Alto*")</f>
        <v/>
      </c>
      <c r="D4" s="6">
        <f>COUNTIFS('Matriz de Gobernanza'!$A$2:$A$28,"Módulo 1:*",'Matriz de Gobernanza'!$F$2:$F$28,"Medio*")</f>
        <v/>
      </c>
      <c r="E4" s="6">
        <f>COUNTIFS('Matriz de Gobernanza'!$A$2:$A$28,"Módulo 1:*",'Matriz de Gobernanza'!$F$2:$F$28,"Bajo*")</f>
        <v/>
      </c>
      <c r="F4" s="5">
        <f>SUM(B4:E4)</f>
        <v/>
      </c>
    </row>
    <row r="5">
      <c r="A5" s="6" t="inlineStr">
        <is>
          <t>Módulo 2: Gestión de Usuarios</t>
        </is>
      </c>
      <c r="B5" s="6">
        <f>COUNTIFS('Matriz de Gobernanza'!$A$2:$A$28,"*Módulo 2:*",'Matriz de Gobernanza'!$F$2:$F$28,"Crítico*")</f>
        <v/>
      </c>
      <c r="C5" s="6">
        <f>COUNTIFS('Matriz de Gobernanza'!$A$2:$A$28,"*Módulo 2:*",'Matriz de Gobernanza'!$F$2:$F$28,"Alto*")</f>
        <v/>
      </c>
      <c r="D5" s="6">
        <f>COUNTIFS('Matriz de Gobernanza'!$A$2:$A$28,"*Módulo 2:*",'Matriz de Gobernanza'!$F$2:$F$28,"Medio*")</f>
        <v/>
      </c>
      <c r="E5" s="6">
        <f>COUNTIFS('Matriz de Gobernanza'!$A$2:$A$28,"*Módulo 2:*",'Matriz de Gobernanza'!$F$2:$F$28,"Bajo*")</f>
        <v/>
      </c>
      <c r="F5" s="5">
        <f>SUM(B5:E5)</f>
        <v/>
      </c>
    </row>
    <row r="6">
      <c r="A6" s="6" t="inlineStr">
        <is>
          <t>Módulo 3: Operaciones / Transacciones</t>
        </is>
      </c>
      <c r="B6" s="6">
        <f>COUNTIFS('Matriz de Gobernanza'!$A$2:$A$28,"Módulo 3:*",'Matriz de Gobernanza'!$F$2:$F$28,"Crítico*")</f>
        <v/>
      </c>
      <c r="C6" s="6">
        <f>COUNTIFS('Matriz de Gobernanza'!$A$2:$A$28,"Módulo 3:*",'Matriz de Gobernanza'!$F$2:$F$28,"Alto*")</f>
        <v/>
      </c>
      <c r="D6" s="6">
        <f>COUNTIFS('Matriz de Gobernanza'!$A$2:$A$28,"Módulo 3:*",'Matriz de Gobernanza'!$F$2:$F$28,"Medio*")</f>
        <v/>
      </c>
      <c r="E6" s="6">
        <f>COUNTIFS('Matriz de Gobernanza'!$A$2:$A$28,"Módulo 3:*",'Matriz de Gobernanza'!$F$2:$F$28,"Bajo*")</f>
        <v/>
      </c>
      <c r="F6" s="5">
        <f>SUM(B6:E6)</f>
        <v/>
      </c>
    </row>
    <row r="7">
      <c r="A7" s="6" t="inlineStr">
        <is>
          <t>Módulo 4: Logs / Auditoría</t>
        </is>
      </c>
      <c r="B7" s="6">
        <f>COUNTIFS('Matriz de Gobernanza'!$A$2:$A$28,"Módulo 4:*",'Matriz de Gobernanza'!$F$2:$F$28,"Crítico*")</f>
        <v/>
      </c>
      <c r="C7" s="6">
        <f>COUNTIFS('Matriz de Gobernanza'!$A$2:$A$28,"Módulo 4:*",'Matriz de Gobernanza'!$F$2:$F$28,"Alto*")</f>
        <v/>
      </c>
      <c r="D7" s="6">
        <f>COUNTIFS('Matriz de Gobernanza'!$A$2:$A$28,"Módulo 4:*",'Matriz de Gobernanza'!$F$2:$F$28,"Medio*")</f>
        <v/>
      </c>
      <c r="E7" s="6">
        <f>COUNTIFS('Matriz de Gobernanza'!$A$2:$A$28,"Módulo 4:*",'Matriz de Gobernanza'!$F$2:$F$28,"Bajo*")</f>
        <v/>
      </c>
      <c r="F7" s="5">
        <f>SUM(B7:E7)</f>
        <v/>
      </c>
    </row>
    <row r="8">
      <c r="A8" s="5" t="inlineStr">
        <is>
          <t>Sistema (filas únicas de la matriz)</t>
        </is>
      </c>
      <c r="B8" s="5">
        <f>COUNTIF('Matriz de Gobernanza'!$F$2:$F$28,"Crítico*")</f>
        <v/>
      </c>
      <c r="C8" s="5">
        <f>COUNTIF('Matriz de Gobernanza'!$F$2:$F$28,"Alto*")</f>
        <v/>
      </c>
      <c r="D8" s="5">
        <f>COUNTIF('Matriz de Gobernanza'!$F$2:$F$28,"Medio*")</f>
        <v/>
      </c>
      <c r="E8" s="5">
        <f>COUNTIF('Matriz de Gobernanza'!$F$2:$F$28,"Bajo*")</f>
        <v/>
      </c>
      <c r="F8" s="5">
        <f>COUNTA('Matriz de Gobernanza'!$F$2:$F$28)</f>
        <v/>
      </c>
    </row>
    <row r="9">
      <c r="A9" s="7" t="inlineStr">
        <is>
          <t>Nota: la fila compartida Autenticación/Usuarios cuenta en ambos módulos, pero una sola vez en el total del sistema.</t>
        </is>
      </c>
    </row>
    <row r="11">
      <c r="A11" s="4" t="inlineStr">
        <is>
          <t>Escala de valoración (común a los 4 módulos)</t>
        </is>
      </c>
    </row>
    <row r="12">
      <c r="A12" s="6" t="inlineStr">
        <is>
          <t>Riesgo inherente = Impacto (1–4) × Probabilidad (1–4)</t>
        </is>
      </c>
      <c r="B12" s="6" t="inlineStr"/>
    </row>
    <row r="13">
      <c r="A13" s="6" t="inlineStr">
        <is>
          <t>Bajo</t>
        </is>
      </c>
      <c r="B13" s="6" t="inlineStr">
        <is>
          <t>1–3</t>
        </is>
      </c>
    </row>
    <row r="14">
      <c r="A14" s="6" t="inlineStr">
        <is>
          <t>Medio</t>
        </is>
      </c>
      <c r="B14" s="6" t="inlineStr">
        <is>
          <t>4–6</t>
        </is>
      </c>
    </row>
    <row r="15">
      <c r="A15" s="6" t="inlineStr">
        <is>
          <t>Alto</t>
        </is>
      </c>
      <c r="B15" s="6" t="inlineStr">
        <is>
          <t>8–9</t>
        </is>
      </c>
    </row>
    <row r="16">
      <c r="A16" s="6" t="inlineStr">
        <is>
          <t>Crítico</t>
        </is>
      </c>
      <c r="B16" s="6" t="inlineStr">
        <is>
          <t>12–16</t>
        </is>
      </c>
    </row>
    <row r="17">
      <c r="A17" s="6" t="inlineStr">
        <is>
          <t>Inherente = riesgo del código de develop antes de los parches de la Fase 3 (los controles existentes sí se consideran).</t>
        </is>
      </c>
      <c r="B17" s="6" t="inlineStr"/>
    </row>
    <row r="18">
      <c r="A18" s="6" t="inlineStr">
        <is>
          <t>Provisional = depende de confirmar el hallazgo con la PoC de la Fase 2.</t>
        </is>
      </c>
      <c r="B18" s="6" t="inlineStr"/>
    </row>
    <row r="20">
      <c r="A20" s="4" t="inlineStr">
        <is>
          <t>Notas de consolidación</t>
        </is>
      </c>
    </row>
    <row r="21" ht="42" customHeight="1">
      <c r="A21" s="8" t="inlineStr">
        <is>
          <t>1. Riesgo unido: "Rol inicial de cada cuenta" aparece en Autenticación (AUTH-R01) y Usuarios (US-R01); se registra una sola fila.</t>
        </is>
      </c>
    </row>
    <row r="22" ht="42" customHeight="1">
      <c r="A22" s="8" t="inlineStr">
        <is>
          <t>2. Solapamiento: "Claims del JWT usados en políticas RLS" (Autenticación) y "Catálogo y tarifas … políticas RLS" (Operaciones, OP-C03) comparten causa raíz (auth.jwt() -&gt;&gt; 'role' y sync_role_to_jwt). Se mantienen ambas filas por tener activos distintos; el parche se coordina entre Paula y Aarón.</t>
        </is>
      </c>
    </row>
    <row r="23" ht="42" customHeight="1">
      <c r="A23" s="8" t="inlineStr">
        <is>
          <t>3. Solapamiento: el middleware del panel sin verificación de rol aparece como control en Operaciones (galería) y Auditoría (lectura del registro); el dueño del archivo es Paula.</t>
        </is>
      </c>
    </row>
    <row r="24" ht="42" customHeight="1">
      <c r="A24" s="8" t="inlineStr">
        <is>
          <t>4. Dependencia DETECT: las filas de trazabilidad de Autenticación, Usuarios y Operaciones dependen de la API de auditoría (Módulo 4).</t>
        </is>
      </c>
    </row>
    <row r="25" ht="42" customHeight="1">
      <c r="A25" s="8" t="inlineStr">
        <is>
          <t>5. Fuentes: §7/§8 de docs/proyecto-seguridad/&lt;módulo&gt;/fase-1-diagnostico.md (PR #3, #4, #6 y #7).</t>
        </is>
      </c>
    </row>
  </sheetData>
  <mergeCells count="5">
    <mergeCell ref="A24:F24"/>
    <mergeCell ref="A23:F23"/>
    <mergeCell ref="A22:F22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2026-10-06T00:50:51Z</dcterms:created>
  <dcterms:modified xsi:type="dcterms:W3CDTF">2026-10-06T00:50:51Z</dcterms:modified>
  <cp:lastModifiedBy>Adriana Rojas Chavarria</cp:lastModifiedBy>
</cp:coreProperties>
</file>